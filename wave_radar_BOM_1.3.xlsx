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22300" windowHeight="9190"/>
  </bookViews>
  <sheets>
    <sheet name="Order BOM" sheetId="1" r:id="rId1"/>
  </sheets>
  <definedNames>
    <definedName name="Excel_BuiltIn_Print_Area" localSheetId="0">#N/A</definedName>
    <definedName name="Excel_BuiltIn_Sheet_Title" localSheetId="0">"Order BOM"</definedName>
    <definedName name="_xlnm.Sheet_Title" localSheetId="0">"Order BOM"</definedName>
    <definedName name="_xlnm.Print_Area" localSheetId="0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<sst xmlns="http://schemas.openxmlformats.org/spreadsheetml/2006/main" uniqueCount="7" count="7">
  <si>
    <t>PinHeader_1x04_P2.54mm_Vertical</t>
  </si>
  <si>
    <t>R_0805_2012Metric</t>
  </si>
  <si>
    <t>PinHeader_1x03_P2.54mm_Vertical</t>
  </si>
  <si>
    <t>AUX</t>
  </si>
  <si>
    <t>PinHeader_1x06_P2.54mm_Vertical</t>
  </si>
  <si>
    <t>C_0805_2012Metric</t>
  </si>
  <si>
    <t>same as above</t>
  </si>
</sst>
</file>

<file path=xl/styles.xml><?xml version="1.0" encoding="utf-8"?>
<styleSheet xmlns="http://schemas.openxmlformats.org/spreadsheetml/2006/main">
  <numFmts count="1">
    <numFmt formatCode="\$0.00" numFmtId="100"/>
  </numFmts>
  <fonts count="9">
    <font>
      <b val="0"/>
      <i val="0"/>
      <u val="none"/>
      <color rgb="FF000000"/>
      <name val="Sans"/>
      <vertAlign val="baseline"/>
      <sz val="10"/>
      <strike val="0"/>
    </font>
    <font>
      <b val="1"/>
      <i val="0"/>
      <u val="none"/>
      <color rgb="FF000000"/>
      <name val="Sans"/>
      <vertAlign val="baseline"/>
      <sz val="12"/>
      <strike val="0"/>
    </font>
    <font>
      <b val="1"/>
      <i val="0"/>
      <u val="none"/>
      <color rgb="FF000000"/>
      <name val="Sans"/>
      <vertAlign val="baseline"/>
      <sz val="10"/>
      <strike val="0"/>
    </font>
    <font>
      <b val="0"/>
      <i val="1"/>
      <u val="none"/>
      <color rgb="FF000000"/>
      <name val="Sans"/>
      <vertAlign val="baseline"/>
      <sz val="10"/>
      <strike val="0"/>
    </font>
    <font>
      <b val="0"/>
      <i val="0"/>
      <u val="none"/>
      <color rgb="FF808080"/>
      <name val="Sans"/>
      <vertAlign val="baseline"/>
      <sz val="10"/>
      <strike val="0"/>
    </font>
    <font>
      <b val="0"/>
      <i val="0"/>
      <u val="single"/>
      <color rgb="FF0000FF"/>
      <name val="Sans"/>
      <vertAlign val="baseline"/>
      <sz val="10"/>
      <strike val="0"/>
    </font>
    <font>
      <b val="0"/>
      <i val="0"/>
      <u val="none"/>
      <color rgb="FF969696"/>
      <name val="Sans"/>
      <vertAlign val="baseline"/>
      <sz val="10"/>
      <strike val="0"/>
    </font>
    <font>
      <b val="0"/>
      <i val="0"/>
      <u val="single"/>
      <color rgb="FF969696"/>
      <name val="Sans"/>
      <vertAlign val="baseline"/>
      <sz val="10"/>
      <strike val="0"/>
    </font>
    <font>
      <b val="0"/>
      <i val="0"/>
      <u val="none"/>
      <color rgb="FFFF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55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center" vertical="bottom" wrapText="1" shrinkToFit="0" textRotation="0" indent="0"/>
      <protection locked="1" hidden="0"/>
    </xf>
    <xf applyAlignment="1" applyBorder="1" applyFont="1" applyFill="1" applyNumberFormat="1" fontId="4" fillId="0" borderId="0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4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0" fillId="0" borderId="0" numFmtId="10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5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6" fillId="0" borderId="0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6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6" fillId="0" borderId="0" numFmtId="10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7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8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5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7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5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7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5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5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5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5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5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5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5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5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7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0" xfId="0">
      <alignment horizontal="right" vertical="bottom" wrapText="0" shrinkToFit="0" textRotation="0" indent="0"/>
      <protection locked="1" hidden="0"/>
    </xf>
    <xf applyAlignment="1" applyBorder="1" applyFont="1" applyFill="1" applyNumberFormat="1" fontId="5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5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5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5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5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5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7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5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5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5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5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5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right" vertical="bottom" wrapText="0" shrinkToFit="0" textRotation="0" indent="0"/>
      <protection locked="1" hidden="0"/>
    </xf>
    <xf applyAlignment="1" applyBorder="1" applyFont="1" applyFill="1" applyNumberFormat="1" fontId="2" fillId="0" borderId="0" numFmtId="100" xfId="0">
      <alignment horizontal="right" vertical="bottom" wrapText="0" shrinkToFit="0" textRotation="0" indent="0"/>
      <protection locked="1" hidden="0"/>
    </xf>
    <xf applyAlignment="1" applyBorder="1" applyFont="1" applyFill="1" applyNumberFormat="1" fontId="0" fillId="0" borderId="0" numFmtId="100" xfId="0">
      <alignment horizontal="right" vertical="bottom" wrapText="0" shrinkToFit="0" textRotation="0" indent="0"/>
      <protection locked="1" hidden="0"/>
    </xf>
    <xf applyAlignment="1" applyBorder="1" applyFont="1" applyFill="1" applyNumberFormat="1" fontId="5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5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5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5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left" vertical="bottom" wrapText="0" shrinkToFit="0" textRotation="0" indent="0"/>
      <protection locked="1" hidden="0"/>
    </xf>
    <xf applyAlignment="1" applyBorder="1" applyFont="1" applyFill="1" applyNumberFormat="1" fontId="7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7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7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5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7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_rels/sheet1.xml.rels><?xml version="1.0" encoding="UTF-8"?>
<Relationships xmlns="http://schemas.openxmlformats.org/package/2006/relationships">
  <Relationship Id="rId35" Type="http://schemas.openxmlformats.org/officeDocument/2006/relationships/hyperlink" Target="https://www.adafruit.com/product/3405" TargetMode="External"/>
  <Relationship Id="rId34" Type="http://schemas.openxmlformats.org/officeDocument/2006/relationships/hyperlink" Target="https://www.mouser.com/ProductDetail/Adafruit/5035?qs=pBJMDPsKWf13hGA%252B7pfQ3w%3D%3D" TargetMode="External"/>
  <Relationship Id="rId33" Type="http://schemas.openxmlformats.org/officeDocument/2006/relationships/hyperlink" Target="https://www.adafruit.com/product/5035" TargetMode="External"/>
  <Relationship Id="rId32" Type="http://schemas.openxmlformats.org/officeDocument/2006/relationships/hyperlink" Target="https://github.com/spluttflob/Wave-Radar/tree/main/mech" TargetMode="External"/>
  <Relationship Id="rId31" Type="http://schemas.openxmlformats.org/officeDocument/2006/relationships/hyperlink" Target="https://www.mouser.com/ProductDetail/Acconeer/LH120?qs=tlsG%2FOw5FFghGQJlh%2F9x2A%3D%3D" TargetMode="External"/>
  <Relationship Id="rId30" Type="http://schemas.openxmlformats.org/officeDocument/2006/relationships/hyperlink" Target="https://www.mouser.com/ProductDetail/Adafruit/2830?qs=xE9dPqTLfL4XzxEZXTz%252BEA%3D%3D" TargetMode="External"/>
  <Relationship Id="rId29" Type="http://schemas.openxmlformats.org/officeDocument/2006/relationships/hyperlink" Target="https://www.amazon.com/Panasonic-Lithium-Batteries-Size-CR1220/dp/B005FX02MI/" TargetMode="External"/>
  <Relationship Id="rId28" Type="http://schemas.openxmlformats.org/officeDocument/2006/relationships/hyperlink" Target="https://www.mouser.com/ProductDetail/Adafruit/2922?qs=Pzq478CtQye%252BHWqh4aeyUQ%3D%3D" TargetMode="External"/>
  <Relationship Id="rId27" Type="http://schemas.openxmlformats.org/officeDocument/2006/relationships/hyperlink" Target="https://www.amazon.com/HiLetgo-GY-NEO6MV2-Controller-Ceramic-Antenna/dp/B01D1D0F5M/ref=sr_1_11" TargetMode="External"/>
  <Relationship Id="rId26" Type="http://schemas.openxmlformats.org/officeDocument/2006/relationships/hyperlink" Target="https://www.mouser.com/ProductDetail/Acconeer/XM125?qs=sGAEpiMZZMu3sxpa5v1qruw6EePLcCCpnJBrB4hYxzU%3D" TargetMode="External"/>
  <Relationship Id="rId25" Type="http://schemas.openxmlformats.org/officeDocument/2006/relationships/hyperlink" Target="https://www.mouser.com/ProductDetail/Microchip-Technology/MCP1754ST-1802E-MB" TargetMode="External"/>
  <Relationship Id="rId24" Type="http://schemas.openxmlformats.org/officeDocument/2006/relationships/hyperlink" Target="https://www.mouser.com/ProductDetail/Analog-Devices/LT1129CST-3.3PBF" TargetMode="External"/>
  <Relationship Id="rId23" Type="http://schemas.openxmlformats.org/officeDocument/2006/relationships/hyperlink" Target="https://www.mouser.com/ProductDetail/Vishay-Dale/CRCW08051M00JNEAC?qs=E3Y5ESvWgWMKh2Fxw4eXlg%3D%3D" TargetMode="External"/>
  <Relationship Id="rId22" Type="http://schemas.openxmlformats.org/officeDocument/2006/relationships/hyperlink" Target="https://www.mouser.com/ProductDetail/Adafruit/2138?qs=GURawfaeGuBwcffGI1OIOw%3D%3D" TargetMode="External"/>
  <Relationship Id="rId21" Type="http://schemas.openxmlformats.org/officeDocument/2006/relationships/hyperlink" Target="https://www.adafruit.com/product/2138" TargetMode="External"/>
  <Relationship Id="rId20" Type="http://schemas.openxmlformats.org/officeDocument/2006/relationships/hyperlink" Target="https://www.mouser.com/ProductDetail/YAGEO/CC0805JRX7R8BB104?qs=AgBp2OyFlx%252BZU4KTc42Krw%3D%3D" TargetMode="External"/>
  <Relationship Id="rId19" Type="http://schemas.openxmlformats.org/officeDocument/2006/relationships/hyperlink" Target="https://www.mouser.com/ProductDetail/KEMET/C0805C475K3PACTU?qs=K%2Fj%2Fqf%252B0fqKgIgOb3tBMNw%3D%3D" TargetMode="External"/>
  <Relationship Id="rId18" Type="http://schemas.openxmlformats.org/officeDocument/2006/relationships/hyperlink" Target="https://www.mouser.com/ProductDetail/Texas-Instruments/BQ24074RGTRG4?qs=drm0CCHqiV5LjyrmJlyFDQ%3D%3D" TargetMode="External"/>
  <Relationship Id="rId17" Type="http://schemas.openxmlformats.org/officeDocument/2006/relationships/hyperlink" Target="https://www.mouser.com/ProductDetail/KYOCERA-AVX/SD1206T040S1R0?qs=jCA%252BPfw4LHbR43TXEWb5mg%3D%3D" TargetMode="External"/>
  <Relationship Id="rId16" Type="http://schemas.openxmlformats.org/officeDocument/2006/relationships/hyperlink" Target="https://www.mouser.com/ProductDetail/KEMET/C0805C105J4RAC7210?qs=7zB%252BIQS%2FKOJG%252BUtduyFhHw%3D%3D" TargetMode="External"/>
  <Relationship Id="rId15" Type="http://schemas.openxmlformats.org/officeDocument/2006/relationships/hyperlink" Target="https://www.mouser.com/ProductDetail/Adafruit/2940?qs=qrYS%2FWt5A16LZHn3JMgl3w%3D%3D" TargetMode="External"/>
  <Relationship Id="rId14" Type="http://schemas.openxmlformats.org/officeDocument/2006/relationships/hyperlink" Target="https://www.adafruit.com/product/2940" TargetMode="External"/>
  <Relationship Id="rId13" Type="http://schemas.openxmlformats.org/officeDocument/2006/relationships/hyperlink" Target="https://www.mouser.com/ProductDetail/Vishay-Dale/CRCW0805100KJNTA?qs=rGO4O3Mig4idWRslNBLx9A%3D%3D" TargetMode="External"/>
  <Relationship Id="rId12" Type="http://schemas.openxmlformats.org/officeDocument/2006/relationships/hyperlink" Target="https://www.mouser.com/ProductDetail/Murata-Electronics/GRM21BC81D106KE51K?qs=QzBtWTOodeX3BXZzorRwZw%3D%3D" TargetMode="External"/>
  <Relationship Id="rId11" Type="http://schemas.openxmlformats.org/officeDocument/2006/relationships/hyperlink" Target="https://www.mouser.com/ProductDetail/YAGEO/RC0805JR-074K7P?qs=oypCK0zG327lNRTQ3ak4YQ%3D%3D" TargetMode="External"/>
  <Relationship Id="rId10" Type="http://schemas.openxmlformats.org/officeDocument/2006/relationships/hyperlink" Target="https://www.mouser.com/ProductDetail/onsemi-Fairchild/FDV303N?qs=FOlmdCx%252BAA1IyXspysHTkA%3D%3D" TargetMode="External"/>
  <Relationship Id="rId9" Type="http://schemas.openxmlformats.org/officeDocument/2006/relationships/hyperlink" Target="https://www.mouser.com/ProductDetail/Kingbright/APD3224SGC-F01?qs=VdjlWU%2FzoOFlLUgo8Vdl7g%3D%3D" TargetMode="External"/>
  <Relationship Id="rId8" Type="http://schemas.openxmlformats.org/officeDocument/2006/relationships/hyperlink" Target="https://www.mouser.com/ProductDetail/Kingbright/APD3224SYCK-F01?qs=VdjlWU%2FzoOF7uyPL3qtctA%3D%3D" TargetMode="External"/>
  <Relationship Id="rId7" Type="http://schemas.openxmlformats.org/officeDocument/2006/relationships/hyperlink" Target="https://www.mouser.com/ProductDetail/Bourns/CRT0805-FZ-1001ELF?qs=zVPOhnWuw8XKnszaWxnxVA%3D%3D" TargetMode="External"/>
  <Relationship Id="rId6" Type="http://schemas.openxmlformats.org/officeDocument/2006/relationships/hyperlink" Target="https://www.mouser.com/ProductDetail/Harwin/M20-7820442?qs=vF78I%252BjhbY9ZgDLCXkGx4w%3D%3D" TargetMode="External"/>
  <Relationship Id="rId5" Type="http://schemas.openxmlformats.org/officeDocument/2006/relationships/hyperlink" Target="https://www.mouser.com/ProductDetail/Apem/MJTP1243?qs=Uv2m1HzDAyqvmQR%252Bfj6VKQ%3D%3D" TargetMode="External"/>
  <Relationship Id="rId4" Type="http://schemas.openxmlformats.org/officeDocument/2006/relationships/hyperlink" Target="https://www.mouser.com/ProductDetail/JST-Commercial/S2B-PH-K-S-GWPP" TargetMode="External"/>
  <Relationship Id="rId3" Type="http://schemas.openxmlformats.org/officeDocument/2006/relationships/hyperlink" Target="https://www.digikey.com/en/products/detail/jst-sales-america-inc/S2B-PH-K-S/926626" TargetMode="External"/>
  <Relationship Id="rId2" Type="http://schemas.openxmlformats.org/officeDocument/2006/relationships/hyperlink" Target="https://www.mouser.com/ProductDetail/YAGEO/RC0805JR-078K2L?qs=KyGMWp10UkvZ9xktQXin5g%3D%3D" TargetMode="External"/>
  <Relationship Id="rId1" Type="http://schemas.openxmlformats.org/officeDocument/2006/relationships/hyperlink" Target="https://www.adafruit.com/product/4208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B2:N64"/>
  <sheetViews>
    <sheetView workbookViewId="0" zoomScale="115" tabSelected="1">
      <selection activeCell="L5" sqref="L5"/>
    </sheetView>
  </sheetViews>
  <sheetFormatPr defaultRowHeight="13.2"/>
  <cols>
    <col min="1" max="1" style="0" width="9.142307692307693"/>
    <col min="2" max="2" style="0" width="4.44140625" customWidth="1"/>
    <col min="3" max="3" style="0" width="4.6640625" customWidth="1"/>
    <col min="4" max="4" style="0" width="14.441406250000002" customWidth="1"/>
    <col min="5" max="5" style="0" width="54" customWidth="1"/>
    <col min="6" max="6" style="0" width="5.33203125" customWidth="1"/>
    <col min="7" max="7" style="0" width="21.44140625" customWidth="1"/>
    <col min="8" max="8" style="0" width="15.109375000000002" customWidth="1"/>
    <col min="9" max="9" style="0" width="10" customWidth="1"/>
    <col min="10" max="12" style="0" width="9.142307692307693"/>
    <col min="13" max="13" style="0" width="11.44140625" customWidth="1"/>
    <col min="14" max="16384" style="0" width="9.142307692307693"/>
  </cols>
  <sheetData>
    <row r="2" spans="2:14" ht="15.6">
      <c r="B2" s="1" t="inlineStr">
        <is>
          <t>BOM For Wave Radar Version 1 -- Last Updated Nov. 2025</t>
        </is>
      </c>
    </row>
    <row r="4" spans="2:14">
      <c r="B4" s="2" t="inlineStr">
        <is>
          <t>Parts on PCB (Board version 0.2)</t>
        </is>
      </c>
      <c r="G4" s="3" t="inlineStr">
        <is>
          <t>Some quantities are greater than fit on boards to provide spares and/or take advantage of quantity pricing.</t>
        </is>
      </c>
    </row>
    <row r="5" spans="2:14" customHeight="1" ht="28.65">
      <c r="C5" s="4" t="inlineStr">
        <is>
          <t>Id</t>
        </is>
      </c>
      <c r="D5" s="2" t="inlineStr">
        <is>
          <t>Designator</t>
        </is>
      </c>
      <c r="E5" s="2" t="inlineStr">
        <is>
          <t>Footprint</t>
        </is>
      </c>
      <c r="F5" s="5" t="inlineStr">
        <is>
          <t>Brd.Qty.</t>
        </is>
      </c>
      <c r="G5" s="2" t="inlineStr">
        <is>
          <t>Designation</t>
        </is>
      </c>
      <c r="H5" s="5" t="inlineStr">
        <is>
          <t>Qty. For 5 Units</t>
        </is>
      </c>
      <c r="I5" s="5" t="inlineStr">
        <is>
          <t>Cost / 5 Boards</t>
        </is>
      </c>
      <c r="J5" s="2" t="inlineStr">
        <is>
          <t>Supplier and ref</t>
        </is>
      </c>
    </row>
    <row r="6" spans="2:14" ht="13.2" hidden="1">
      <c r="C6" s="6">
        <v>1</v>
      </c>
      <c r="D6" s="7" t="inlineStr">
        <is>
          <t>J3</t>
        </is>
      </c>
      <c r="E6" s="7" t="s">
        <v>0</v>
      </c>
      <c r="F6" s="6">
        <v>1</v>
      </c>
      <c r="G6" s="7" t="inlineStr">
        <is>
          <t>STM_I2C</t>
        </is>
      </c>
      <c r="H6" s="8"/>
      <c r="I6" s="9"/>
    </row>
    <row r="7" spans="2:14">
      <c r="C7" s="8"/>
      <c r="F7" s="8"/>
      <c r="H7" s="8"/>
      <c r="I7" s="9"/>
      <c r="J7" s="10"/>
    </row>
    <row r="8" spans="2:14">
      <c r="C8" s="8"/>
      <c r="F8" s="8"/>
      <c r="H8" s="8"/>
      <c r="I8" s="9"/>
      <c r="J8" s="10"/>
    </row>
    <row r="9" spans="2:14">
      <c r="C9" s="11">
        <v>4</v>
      </c>
      <c r="D9" s="12" t="inlineStr">
        <is>
          <t>J5</t>
        </is>
      </c>
      <c r="E9" s="12" t="inlineStr">
        <is>
          <t>JST_SH_BM04B-SRSS-TB_1x04-1MP_P1.00mm_Vertical</t>
        </is>
      </c>
      <c r="F9" s="11">
        <v>1</v>
      </c>
      <c r="G9" s="12" t="inlineStr">
        <is>
          <t>I2C-QWIIC</t>
        </is>
      </c>
      <c r="H9" s="11" t="inlineStr">
        <is>
          <t>1 pack</t>
        </is>
      </c>
      <c r="I9" s="13">
        <v>3.9500000000000002</v>
      </c>
      <c r="J9" s="14" t="inlineStr">
        <is>
          <t>https://www.adafruit.com/product/4208</t>
        </is>
      </c>
      <c r="N9" s="15" t="inlineStr">
        <is>
          <t>Not needed for current system</t>
        </is>
      </c>
    </row>
    <row r="10" spans="2:14">
      <c r="C10" s="8">
        <v>5</v>
      </c>
      <c r="D10" t="inlineStr">
        <is>
          <t>R4</t>
        </is>
      </c>
      <c r="E10" t="s">
        <v>1</v>
      </c>
      <c r="F10" s="8">
        <v>1</v>
      </c>
      <c r="G10" t="inlineStr">
        <is>
          <t>8.2K</t>
        </is>
      </c>
      <c r="H10" s="8">
        <v>10</v>
      </c>
      <c r="I10" s="9">
        <f>0.014999999999999999*5</f>
        <v>0.074999999999999997</v>
      </c>
      <c r="J10" s="16" t="inlineStr">
        <is>
          <t>https://www.mouser.com/ProductDetail/YAGEO/RC0805JR-078K2L?qs=KyGMWp10UkvZ9xktQXin5g%3D%3D</t>
        </is>
      </c>
    </row>
    <row r="11" spans="2:14">
      <c r="C11" s="11">
        <v>6</v>
      </c>
      <c r="D11" s="12" t="inlineStr">
        <is>
          <t>J9</t>
        </is>
      </c>
      <c r="E11" s="12" t="inlineStr">
        <is>
          <t>JST_PH_S2B-PH-K_1x02_P2.00mm_Horizontal</t>
        </is>
      </c>
      <c r="F11" s="11">
        <v>1</v>
      </c>
      <c r="G11" s="12" t="inlineStr">
        <is>
          <t>LiPo</t>
        </is>
      </c>
      <c r="H11" s="11">
        <v>5</v>
      </c>
      <c r="I11" s="13">
        <f>5*0.17999999999999999</f>
        <v>0.89999999999999991</v>
      </c>
      <c r="J11" s="17" t="inlineStr">
        <is>
          <t>https://www.digikey.com/en/products/detail/jst-sales-america-inc/S2B-PH-K-S/926626</t>
        </is>
      </c>
    </row>
    <row r="12" spans="2:14">
      <c r="C12" s="8"/>
      <c r="E12" t="inlineStr">
        <is>
          <t>Mouser listing for S2B-PH-K connector above (I think!)</t>
        </is>
      </c>
      <c r="F12" s="8">
        <v>1</v>
      </c>
      <c r="H12" s="8">
        <v>10</v>
      </c>
      <c r="I12" s="9">
        <f>H12*0.22700000000000001</f>
        <v>2.27</v>
      </c>
      <c r="J12" s="18" t="inlineStr">
        <is>
          <t>https://www.mouser.com/ProductDetail/JST-Commercial/S2B-PH-K-S-GWPP</t>
        </is>
      </c>
    </row>
    <row r="13" spans="2:14">
      <c r="C13" s="11"/>
      <c r="D13" s="12"/>
      <c r="E13" s="12" t="inlineStr">
        <is>
          <t>Pushbutton switches...out of stock 2025-Nov-10</t>
        </is>
      </c>
      <c r="F13" s="11"/>
      <c r="G13" s="12"/>
      <c r="H13" s="11">
        <v>10</v>
      </c>
      <c r="I13" s="13"/>
      <c r="J13" s="19" t="inlineStr">
        <is>
          <t>https://www.mouser.com/ProductDetail/Apem/MJTP1243?qs=Uv2m1HzDAyqvmQR%252Bfj6VKQ%3D%3D</t>
        </is>
      </c>
    </row>
    <row r="14" spans="2:14">
      <c r="C14" s="8">
        <v>10</v>
      </c>
      <c r="D14" t="inlineStr">
        <is>
          <t>J10</t>
        </is>
      </c>
      <c r="E14" t="inlineStr">
        <is>
          <t>PinSocket_1x04_P2.54mm_Vertical</t>
        </is>
      </c>
      <c r="F14" s="8">
        <v>1</v>
      </c>
      <c r="G14" t="inlineStr">
        <is>
          <t>GPS</t>
        </is>
      </c>
      <c r="H14" s="8">
        <v>5</v>
      </c>
      <c r="I14" s="9">
        <f>5*0.79400000000000004</f>
        <v>3.9700000000000002</v>
      </c>
      <c r="J14" s="20" t="inlineStr">
        <is>
          <t>https://www.mouser.com/ProductDetail/Harwin/M20-7820442?qs=vF78I%252BjhbY9ZgDLCXkGx4w%3D%3D</t>
        </is>
      </c>
    </row>
    <row r="15" spans="2:14">
      <c r="C15" s="8">
        <v>11</v>
      </c>
      <c r="D15" t="inlineStr">
        <is>
          <t>R10,R9,R3,R8</t>
        </is>
      </c>
      <c r="E15" t="s">
        <v>1</v>
      </c>
      <c r="F15" s="8">
        <v>4</v>
      </c>
      <c r="G15" t="inlineStr">
        <is>
          <t>1K</t>
        </is>
      </c>
      <c r="H15" s="8">
        <v>25</v>
      </c>
      <c r="I15" s="9">
        <f>25*0.042999999999999997</f>
        <v>1.075</v>
      </c>
      <c r="J15" s="21" t="inlineStr">
        <is>
          <t>https://www.mouser.com/ProductDetail/Bourns/CRT0805-FZ-1001ELF?qs=zVPOhnWuw8XKnszaWxnxVA%3D%3D</t>
        </is>
      </c>
    </row>
    <row r="16" spans="2:14">
      <c r="C16" s="8">
        <v>12</v>
      </c>
      <c r="D16" t="inlineStr">
        <is>
          <t>D3</t>
        </is>
      </c>
      <c r="E16" t="inlineStr">
        <is>
          <t>LED_1206_3216Metric (yellow)</t>
        </is>
      </c>
      <c r="F16" s="8">
        <v>1</v>
      </c>
      <c r="G16" t="inlineStr">
        <is>
          <t>CHARGING</t>
        </is>
      </c>
      <c r="H16" s="8">
        <v>10</v>
      </c>
      <c r="I16" s="9">
        <f>10*0.24299999999999999</f>
        <v>2.4299999999999997</v>
      </c>
      <c r="J16" s="22" t="inlineStr">
        <is>
          <t>https://www.mouser.com/ProductDetail/Kingbright/APD3224SYCK-F01?qs=VdjlWU%2FzoOF7uyPL3qtctA%3D%3D</t>
        </is>
      </c>
    </row>
    <row r="17" spans="2:14">
      <c r="C17" s="8">
        <v>30</v>
      </c>
      <c r="D17" t="inlineStr">
        <is>
          <t>D2</t>
        </is>
      </c>
      <c r="E17" t="inlineStr">
        <is>
          <t>LED_1206_3216Metric (green or blue)</t>
        </is>
      </c>
      <c r="F17" s="8">
        <v>1</v>
      </c>
      <c r="G17" t="inlineStr">
        <is>
          <t>PWR_GOOD</t>
        </is>
      </c>
      <c r="H17" s="8">
        <v>10</v>
      </c>
      <c r="I17" s="9">
        <f>10*0.249</f>
        <v>2.4900000000000002</v>
      </c>
      <c r="J17" s="23" t="inlineStr">
        <is>
          <t>https://www.mouser.com/ProductDetail/Kingbright/APD3224SGC-F01?qs=VdjlWU%2FzoOFlLUgo8Vdl7g%3D%3D</t>
        </is>
      </c>
    </row>
    <row r="18" spans="2:14">
      <c r="C18" s="8">
        <v>13</v>
      </c>
      <c r="D18" t="inlineStr">
        <is>
          <t>Q1</t>
        </is>
      </c>
      <c r="E18" t="inlineStr">
        <is>
          <t>SOT-23</t>
        </is>
      </c>
      <c r="F18" s="8">
        <v>1</v>
      </c>
      <c r="G18" t="inlineStr">
        <is>
          <t>NMOS</t>
        </is>
      </c>
      <c r="H18" s="8">
        <v>10</v>
      </c>
      <c r="I18" s="9">
        <f>H18*0.23999999999999999</f>
        <v>2.3999999999999999</v>
      </c>
      <c r="J18" s="24" t="inlineStr">
        <is>
          <t>https://www.mouser.com/ProductDetail/onsemi-Fairchild/FDV303N?qs=FOlmdCx%252BAA1IyXspysHTkA%3D%3D</t>
        </is>
      </c>
    </row>
    <row r="19" spans="2:14" ht="13.2" hidden="1">
      <c r="C19" s="6">
        <v>14</v>
      </c>
      <c r="D19" s="7" t="inlineStr">
        <is>
          <t>J13</t>
        </is>
      </c>
      <c r="E19" s="7" t="s">
        <v>2</v>
      </c>
      <c r="F19" s="6">
        <v>1</v>
      </c>
      <c r="G19" s="7" t="s">
        <v>3</v>
      </c>
      <c r="H19" s="8"/>
      <c r="I19" s="9"/>
    </row>
    <row r="20" spans="2:14" ht="13.2" hidden="1">
      <c r="C20" s="6">
        <v>15</v>
      </c>
      <c r="D20" s="7" t="inlineStr">
        <is>
          <t>J12</t>
        </is>
      </c>
      <c r="E20" s="7" t="s">
        <v>4</v>
      </c>
      <c r="F20" s="6">
        <v>1</v>
      </c>
      <c r="G20" s="7" t="s">
        <v>3</v>
      </c>
      <c r="H20" s="8"/>
      <c r="I20" s="9"/>
    </row>
    <row r="21" spans="2:14">
      <c r="C21" s="8">
        <v>16</v>
      </c>
      <c r="D21" t="inlineStr">
        <is>
          <t>R2,R1</t>
        </is>
      </c>
      <c r="E21" t="s">
        <v>1</v>
      </c>
      <c r="F21" s="8">
        <v>2</v>
      </c>
      <c r="G21" t="inlineStr">
        <is>
          <t>4.7K</t>
        </is>
      </c>
      <c r="H21" s="8">
        <v>15</v>
      </c>
      <c r="I21" s="9">
        <f>15*0.016</f>
        <v>0.23999999999999999</v>
      </c>
      <c r="J21" s="25" t="inlineStr">
        <is>
          <t>https://www.mouser.com/ProductDetail/YAGEO/RC0805JR-074K7P?qs=oypCK0zG327lNRTQ3ak4YQ%3D%3D</t>
        </is>
      </c>
    </row>
    <row r="22" spans="2:14" ht="13.2" hidden="1">
      <c r="C22" s="6">
        <v>17</v>
      </c>
      <c r="D22" s="7" t="inlineStr">
        <is>
          <t>J7</t>
        </is>
      </c>
      <c r="E22" s="7" t="s">
        <v>4</v>
      </c>
      <c r="F22" s="6">
        <v>1</v>
      </c>
      <c r="G22" s="7" t="inlineStr">
        <is>
          <t>SPI</t>
        </is>
      </c>
      <c r="H22" s="8"/>
      <c r="I22" s="9"/>
    </row>
    <row r="23" spans="2:14">
      <c r="C23" s="8">
        <v>19</v>
      </c>
      <c r="D23" t="inlineStr">
        <is>
          <t>C2</t>
        </is>
      </c>
      <c r="E23" t="s">
        <v>5</v>
      </c>
      <c r="F23" s="8">
        <v>1</v>
      </c>
      <c r="G23" t="inlineStr">
        <is>
          <t>10uF</t>
        </is>
      </c>
      <c r="H23" s="8">
        <v>10</v>
      </c>
      <c r="I23" s="9">
        <f>H23*0.16500000000000001</f>
        <v>1.6500000000000001</v>
      </c>
      <c r="J23" s="26" t="inlineStr">
        <is>
          <t>https://www.mouser.com/ProductDetail/Murata-Electronics/GRM21BC81D106KE51K?qs=QzBtWTOodeX3BXZzorRwZw%3D%3D</t>
        </is>
      </c>
    </row>
    <row r="24" spans="2:14">
      <c r="C24" s="8">
        <v>20</v>
      </c>
      <c r="D24" t="inlineStr">
        <is>
          <t>R13</t>
        </is>
      </c>
      <c r="E24" t="s">
        <v>1</v>
      </c>
      <c r="F24" s="8">
        <v>1</v>
      </c>
      <c r="G24" t="inlineStr">
        <is>
          <t>100K</t>
        </is>
      </c>
      <c r="H24" s="8">
        <v>10</v>
      </c>
      <c r="I24" s="9">
        <f>10*0.033000000000000002</f>
        <v>0.33000000000000002</v>
      </c>
      <c r="J24" s="27" t="inlineStr">
        <is>
          <t>https://www.mouser.com/ProductDetail/Vishay-Dale/CRCW0805100KJNTA?qs=rGO4O3Mig4idWRslNBLx9A%3D%3D</t>
        </is>
      </c>
    </row>
    <row r="25" spans="2:14">
      <c r="C25" s="8"/>
      <c r="E25" t="inlineStr">
        <is>
          <t>Headers for ESP32 Feather board below</t>
        </is>
      </c>
      <c r="F25" s="8">
        <v>1</v>
      </c>
      <c r="H25" s="8">
        <v>5</v>
      </c>
      <c r="I25" s="9">
        <f>1.5*5</f>
        <v>7.5</v>
      </c>
      <c r="J25" s="28" t="inlineStr">
        <is>
          <t>https://www.adafruit.com/product/2940</t>
        </is>
      </c>
    </row>
    <row r="26" spans="2:14" ht="13.2" hidden="1">
      <c r="C26" s="6">
        <v>22</v>
      </c>
      <c r="D26" s="7" t="inlineStr">
        <is>
          <t>J2</t>
        </is>
      </c>
      <c r="E26" s="7" t="s">
        <v>4</v>
      </c>
      <c r="F26" s="6">
        <v>1</v>
      </c>
      <c r="G26" s="7" t="inlineStr">
        <is>
          <t>GPIO</t>
        </is>
      </c>
      <c r="H26" s="8"/>
      <c r="I26" s="9"/>
    </row>
    <row r="27" spans="2:14">
      <c r="C27" s="6"/>
      <c r="D27" s="7"/>
      <c r="E27" s="7"/>
      <c r="F27" s="6"/>
      <c r="G27" s="7"/>
      <c r="H27" s="8"/>
      <c r="I27" s="29" t="s">
        <v>6</v>
      </c>
      <c r="J27" s="30" t="inlineStr">
        <is>
          <t>https://www.mouser.com/ProductDetail/Adafruit/2940</t>
        </is>
      </c>
    </row>
    <row r="28" spans="2:14">
      <c r="C28" s="8">
        <v>23</v>
      </c>
      <c r="D28" t="inlineStr">
        <is>
          <t>C4,C1</t>
        </is>
      </c>
      <c r="E28" t="s">
        <v>5</v>
      </c>
      <c r="F28" s="8">
        <v>1</v>
      </c>
      <c r="G28" t="inlineStr">
        <is>
          <t>1uF</t>
        </is>
      </c>
      <c r="H28" s="8">
        <v>10</v>
      </c>
      <c r="I28" s="9">
        <f>H28*0.159</f>
        <v>1.5900000000000001</v>
      </c>
      <c r="J28" s="31" t="inlineStr">
        <is>
          <t>https://www.mouser.com/ProductDetail/KEMET/C0805C105J4RAC7210?qs=7zB%252BIQS%2FKOJG%252BUtduyFhHw%3D%3D</t>
        </is>
      </c>
    </row>
    <row r="29" spans="2:14" ht="13.2" hidden="1">
      <c r="C29" s="6">
        <v>24</v>
      </c>
      <c r="D29" s="7" t="inlineStr">
        <is>
          <t>J1</t>
        </is>
      </c>
      <c r="E29" s="7" t="s">
        <v>4</v>
      </c>
      <c r="F29" s="6">
        <v>1</v>
      </c>
      <c r="G29" s="7" t="inlineStr">
        <is>
          <t>ST-LINK 2.1</t>
        </is>
      </c>
      <c r="H29" s="8"/>
      <c r="I29" s="9"/>
    </row>
    <row r="30" spans="2:14" ht="13.2" hidden="1">
      <c r="C30" s="6">
        <v>25</v>
      </c>
      <c r="D30" s="7" t="inlineStr">
        <is>
          <t>J4</t>
        </is>
      </c>
      <c r="E30" s="7" t="inlineStr">
        <is>
          <t>PinHeader_1x01_P2.54mm_Vertical</t>
        </is>
      </c>
      <c r="F30" s="6">
        <v>1</v>
      </c>
      <c r="G30" s="7" t="inlineStr">
        <is>
          <t>I2CADDR</t>
        </is>
      </c>
      <c r="H30" s="8"/>
      <c r="I30" s="9"/>
    </row>
    <row r="31" spans="2:14">
      <c r="C31" s="8">
        <v>26</v>
      </c>
      <c r="D31" t="inlineStr">
        <is>
          <t>D1,D4</t>
        </is>
      </c>
      <c r="E31" t="inlineStr">
        <is>
          <t>D_1206_3216Metric</t>
        </is>
      </c>
      <c r="F31" s="8">
        <v>2</v>
      </c>
      <c r="G31" t="inlineStr">
        <is>
          <t>D_Schottky</t>
        </is>
      </c>
      <c r="H31" s="8">
        <v>10</v>
      </c>
      <c r="I31" s="9">
        <f>H31*0.25</f>
        <v>2.5</v>
      </c>
      <c r="J31" s="32" t="inlineStr">
        <is>
          <t>https://www.mouser.com/ProductDetail/KYOCERA-AVX/SD1206T040S1R0?qs=jCA%252BPfw4LHbR43TXEWb5mg%3D%3D</t>
        </is>
      </c>
    </row>
    <row r="32" spans="2:14" ht="13.2" hidden="1">
      <c r="C32" s="6">
        <v>27</v>
      </c>
      <c r="D32" s="7" t="inlineStr">
        <is>
          <t>J14</t>
        </is>
      </c>
      <c r="E32" s="7" t="s">
        <v>2</v>
      </c>
      <c r="F32" s="6">
        <v>1</v>
      </c>
      <c r="G32" s="7" t="inlineStr">
        <is>
          <t>UART0_STM</t>
        </is>
      </c>
      <c r="H32" s="8"/>
      <c r="I32" s="9"/>
    </row>
    <row r="33" spans="2:14">
      <c r="C33" s="8">
        <v>28</v>
      </c>
      <c r="D33" t="inlineStr">
        <is>
          <t>U4</t>
        </is>
      </c>
      <c r="E33" t="inlineStr">
        <is>
          <t>VQFN-16-1EP_3x3mm_P0.5mm_EP1.6x1.6mm</t>
        </is>
      </c>
      <c r="F33" s="8">
        <v>1</v>
      </c>
      <c r="G33" t="inlineStr">
        <is>
          <t>BQ24074RGT</t>
        </is>
      </c>
      <c r="H33" s="8">
        <v>7</v>
      </c>
      <c r="I33" s="9">
        <f>H33*1.8799999999999999</f>
        <v>13.16</v>
      </c>
      <c r="J33" s="33" t="inlineStr">
        <is>
          <t>https://www.mouser.com/ProductDetail/Texas-Instruments/BQ24074RGTRG4?qs=drm0CCHqiV5LjyrmJlyFDQ%3D%3D</t>
        </is>
      </c>
    </row>
    <row r="34" spans="2:14">
      <c r="C34" s="8"/>
      <c r="F34" s="8"/>
      <c r="G34" t="inlineStr">
        <is>
          <t>Capacitor, 4.7uF</t>
        </is>
      </c>
      <c r="H34" s="8">
        <v>10</v>
      </c>
      <c r="I34" s="9">
        <f>H34*0.18099999999999999</f>
        <v>1.8100000000000001</v>
      </c>
      <c r="J34" s="34" t="inlineStr">
        <is>
          <t>https://www.mouser.com/ProductDetail/KEMET/C0805C475K3PACTU?qs=K%2Fj%2Fqf%252B0fqKgIgOb3tBMNw%3D%3D</t>
        </is>
      </c>
    </row>
    <row r="35" spans="2:14">
      <c r="C35" s="8">
        <v>31</v>
      </c>
      <c r="D35" t="inlineStr">
        <is>
          <t>C5</t>
        </is>
      </c>
      <c r="E35" t="s">
        <v>5</v>
      </c>
      <c r="F35" s="8">
        <v>1</v>
      </c>
      <c r="G35" t="inlineStr">
        <is>
          <t>0.1uF</t>
        </is>
      </c>
      <c r="H35" s="8">
        <v>10</v>
      </c>
      <c r="I35" s="9">
        <f>H35*0.051999999999999998</f>
        <v>0.52000000000000002</v>
      </c>
      <c r="J35" s="35" t="inlineStr">
        <is>
          <t>https://www.mouser.com/ProductDetail/YAGEO/CC0805JRX7R8BB104?qs=AgBp2OyFlx%252BZU4KTc42Krw%3D%3D</t>
        </is>
      </c>
    </row>
    <row r="36" spans="2:14">
      <c r="C36" s="8">
        <v>32</v>
      </c>
      <c r="D36" t="inlineStr">
        <is>
          <t>J8</t>
        </is>
      </c>
      <c r="E36" t="inlineStr">
        <is>
          <t>TerminalBlock_Phoenix_MPT-0,5-2-2.54_1x02_P2.54mm_Horizontal</t>
        </is>
      </c>
      <c r="F36" s="8">
        <v>1</v>
      </c>
      <c r="G36" t="inlineStr">
        <is>
          <t>Solar</t>
        </is>
      </c>
      <c r="H36" s="8">
        <v>5</v>
      </c>
      <c r="I36" s="9">
        <f>5*0.94999999999999996</f>
        <v>4.75</v>
      </c>
      <c r="J36" s="36" t="inlineStr">
        <is>
          <t>https://www.adafruit.com/product/2138</t>
        </is>
      </c>
    </row>
    <row r="37" spans="2:14">
      <c r="C37" s="8"/>
      <c r="F37" s="8"/>
      <c r="I37" s="29" t="s">
        <v>6</v>
      </c>
      <c r="J37" s="37" t="inlineStr">
        <is>
          <t>https://www.mouser.com/ProductDetail/Adafruit/2138</t>
        </is>
      </c>
    </row>
    <row r="38" spans="2:14">
      <c r="C38" s="8">
        <v>33</v>
      </c>
      <c r="D38" t="inlineStr">
        <is>
          <t>R11</t>
        </is>
      </c>
      <c r="E38" t="s">
        <v>1</v>
      </c>
      <c r="F38" s="8">
        <v>1</v>
      </c>
      <c r="G38" t="inlineStr">
        <is>
          <t>1M</t>
        </is>
      </c>
      <c r="H38" s="8">
        <v>10</v>
      </c>
      <c r="I38" s="9">
        <f>10*0.019</f>
        <v>0.19</v>
      </c>
      <c r="J38" s="38" t="inlineStr">
        <is>
          <t>https://www.mouser.com/ProductDetail/Vishay-Dale/CRCW08051M00JNEAC?qs=E3Y5ESvWgWMKh2Fxw4eXlg%3D%3D</t>
        </is>
      </c>
    </row>
    <row r="39" spans="2:14">
      <c r="C39" s="8">
        <v>34</v>
      </c>
      <c r="D39" t="inlineStr">
        <is>
          <t>U1</t>
        </is>
      </c>
      <c r="E39" t="inlineStr">
        <is>
          <t>LT1129</t>
        </is>
      </c>
      <c r="F39" s="8">
        <v>1</v>
      </c>
      <c r="G39" t="inlineStr">
        <is>
          <t>LT1129-3.3_SOT223</t>
        </is>
      </c>
      <c r="H39" s="8">
        <v>5</v>
      </c>
      <c r="I39" s="9">
        <f>H39*9.6199999999999992</f>
        <v>48.099999999999994</v>
      </c>
      <c r="J39" s="39" t="inlineStr">
        <is>
          <t>https://www.mouser.com/ProductDetail/Analog-Devices/LT1129CST-3.3PBF</t>
        </is>
      </c>
    </row>
    <row r="40" spans="2:14" ht="13.2" hidden="1">
      <c r="C40" s="6">
        <v>35</v>
      </c>
      <c r="D40" s="7" t="inlineStr">
        <is>
          <t>J6</t>
        </is>
      </c>
      <c r="E40" s="7" t="s">
        <v>0</v>
      </c>
      <c r="F40" s="6">
        <v>1</v>
      </c>
      <c r="G40" s="7" t="inlineStr">
        <is>
          <t>SHT31-2.54</t>
        </is>
      </c>
      <c r="H40" s="8"/>
      <c r="I40" s="9"/>
    </row>
    <row r="41" spans="2:14">
      <c r="C41" s="8">
        <v>36</v>
      </c>
      <c r="D41" t="inlineStr">
        <is>
          <t>U2</t>
        </is>
      </c>
      <c r="E41" t="inlineStr">
        <is>
          <t>MCP1754S</t>
        </is>
      </c>
      <c r="F41" s="8">
        <v>1</v>
      </c>
      <c r="G41" t="inlineStr">
        <is>
          <t>MCP1754S-1802xMB</t>
        </is>
      </c>
      <c r="H41" s="8">
        <v>5</v>
      </c>
      <c r="I41" s="9">
        <f>5*0.72999999999999998</f>
        <v>3.6499999999999999</v>
      </c>
      <c r="J41" s="40" t="inlineStr">
        <is>
          <t>https://www.mouser.com/ProductDetail/Microchip-Technology/MCP1754ST-1802E-MB</t>
        </is>
      </c>
    </row>
    <row r="42" spans="2:14">
      <c r="C42" s="8">
        <v>37</v>
      </c>
      <c r="D42" t="inlineStr">
        <is>
          <t>U3</t>
        </is>
      </c>
      <c r="E42" t="inlineStr">
        <is>
          <t>XM125_ACC radar unit</t>
        </is>
      </c>
      <c r="F42" s="8">
        <v>1</v>
      </c>
      <c r="G42" t="inlineStr">
        <is>
          <t>XM125</t>
        </is>
      </c>
      <c r="H42" s="8">
        <v>3</v>
      </c>
      <c r="I42" s="9">
        <f>H42*18.600000000000001</f>
        <v>55.800000000000004</v>
      </c>
      <c r="J42" s="41" t="inlineStr">
        <is>
          <t>https://www.mouser.com/ProductDetail/Acconeer/XM125?qs=sGAEpiMZZMu3sxpa5v1qruw6EePLcCCpnJBrB4hYxzU%3D</t>
        </is>
      </c>
    </row>
    <row r="43" spans="2:14">
      <c r="C43" s="8"/>
      <c r="F43" s="8"/>
      <c r="H43" s="42" t="inlineStr">
        <is>
          <t>Total for 5 Boards</t>
        </is>
      </c>
      <c r="I43" s="43">
        <f>SUM(I7:I42)</f>
        <v>161.34999999999999</v>
      </c>
    </row>
    <row r="44" spans="2:14">
      <c r="C44" s="8"/>
      <c r="F44" s="8"/>
      <c r="H44" s="29"/>
      <c r="I44" s="44"/>
    </row>
    <row r="45" spans="2:14">
      <c r="B45" s="2" t="inlineStr">
        <is>
          <t>GPS Modules, SD Card Adapter, ...</t>
        </is>
      </c>
      <c r="C45" s="8"/>
      <c r="F45" s="8"/>
      <c r="H45" s="29"/>
      <c r="I45" s="44"/>
    </row>
    <row r="46" spans="2:14">
      <c r="C46" s="8"/>
      <c r="E46" t="inlineStr">
        <is>
          <t>GPS module with uBlox receiver and fancy antenna</t>
        </is>
      </c>
      <c r="F46" s="8">
        <v>1</v>
      </c>
      <c r="H46" s="8">
        <v>5</v>
      </c>
      <c r="I46" s="44">
        <f>H46*8.9900000000000002</f>
        <v>44.950000000000003</v>
      </c>
      <c r="J46" s="45" t="inlineStr">
        <is>
          <t>https://www.amazon.com/HiLetgo-GY-NEO6MV2-Controller-Ceramic-Antenna/dp/B01D1D0F5M/ref=sr_1_11</t>
        </is>
      </c>
    </row>
    <row r="47" spans="2:14">
      <c r="C47" s="8"/>
      <c r="E47" t="inlineStr">
        <is>
          <t>Adalogger: SD card adapter for ESP32 microcontroller</t>
        </is>
      </c>
      <c r="F47" s="8">
        <v>1</v>
      </c>
      <c r="H47" s="8">
        <v>5</v>
      </c>
      <c r="I47" s="44">
        <f>H47*8.9499999999999993</f>
        <v>44.75</v>
      </c>
      <c r="J47" s="46" t="inlineStr">
        <is>
          <t>https://www.mouser.com/ProductDetail/Adafruit/2922</t>
        </is>
      </c>
    </row>
    <row r="48" spans="2:14">
      <c r="C48" s="8"/>
      <c r="E48" t="inlineStr">
        <is>
          <t>Lithium cell for Adalogger</t>
        </is>
      </c>
      <c r="F48" s="8">
        <v>1</v>
      </c>
      <c r="H48" s="8">
        <v>5</v>
      </c>
      <c r="I48" s="44">
        <v>8.9900000000000002</v>
      </c>
      <c r="J48" s="47" t="inlineStr">
        <is>
          <t>https://www.amazon.com/Panasonic-Lithium-Batteries-Size-CR1220/dp/B005FX02MI/</t>
        </is>
      </c>
    </row>
    <row r="49" spans="2:14">
      <c r="C49" s="8"/>
      <c r="E49" t="inlineStr">
        <is>
          <t>Stacking header set for Adalogger</t>
        </is>
      </c>
      <c r="F49" s="8">
        <v>1</v>
      </c>
      <c r="H49" s="8">
        <v>5</v>
      </c>
      <c r="I49" s="44">
        <f>H49*1.25</f>
        <v>6.25</v>
      </c>
      <c r="J49" s="48" t="inlineStr">
        <is>
          <t>https://www.mouser.com/ProductDetail/Adafruit/2830</t>
        </is>
      </c>
    </row>
    <row r="51" spans="2:14">
      <c r="B51" s="2" t="inlineStr">
        <is>
          <t>Lens for Board High Above Water</t>
        </is>
      </c>
      <c r="F51" s="49" t="inlineStr">
        <is>
          <t>Note: We might not need lenses unless more than  3-5m up, pending tests</t>
        </is>
      </c>
    </row>
    <row r="52" spans="2:14">
      <c r="C52" s="12">
        <v>1</v>
      </c>
      <c r="D52" s="12" t="inlineStr">
        <is>
          <t>Acconeer Lens Kit: Not sure this is what we need; we should consider making our own lenses</t>
        </is>
      </c>
      <c r="E52" s="12"/>
      <c r="F52" s="12"/>
      <c r="G52" s="12"/>
      <c r="H52" s="11">
        <v>0</v>
      </c>
      <c r="I52" s="13">
        <f>H52*37.880000000000003</f>
        <v>0</v>
      </c>
      <c r="J52" s="50" t="inlineStr">
        <is>
          <t>https://www.mouser.com/ProductDetail/Acconeer/LH120?qs=tlsG%2FOw5FFghGQJlh%2F9x2A%3D%3D</t>
        </is>
      </c>
    </row>
    <row r="53" spans="2:14">
      <c r="C53" s="12">
        <v>2</v>
      </c>
      <c r="D53" s="12" t="inlineStr">
        <is>
          <t>3D printed lens holder if using lens kit above is on listed GitHub site</t>
        </is>
      </c>
      <c r="E53" s="12"/>
      <c r="F53" s="12"/>
      <c r="G53" s="12"/>
      <c r="H53" s="12"/>
      <c r="I53" s="12"/>
      <c r="J53" s="51" t="inlineStr">
        <is>
          <t>https://github.com/spluttflob/Wave-Radar/tree/main/mech</t>
        </is>
      </c>
    </row>
    <row r="54" spans="2:14">
      <c r="D54" s="3" t="inlineStr">
        <is>
          <t>If making our own lenses, maybe print 'em with integrated holders</t>
        </is>
      </c>
    </row>
    <row r="56" spans="2:14">
      <c r="B56" s="2" t="inlineStr">
        <is>
          <t>LiPo Cell</t>
        </is>
      </c>
    </row>
    <row r="57" spans="2:14">
      <c r="C57" s="8"/>
      <c r="E57" t="inlineStr">
        <is>
          <t>LiPo battery, these are the ones we currently use on the project</t>
        </is>
      </c>
      <c r="F57" s="8"/>
      <c r="H57" s="8">
        <v>3</v>
      </c>
      <c r="I57" s="9">
        <f>29.949999999999999*H57</f>
        <v>89.849999999999994</v>
      </c>
      <c r="J57" s="52" t="inlineStr">
        <is>
          <t>https://www.adafruit.com/product/5035</t>
        </is>
      </c>
    </row>
    <row r="58" spans="2:14">
      <c r="C58" s="8"/>
      <c r="E58" s="2"/>
      <c r="F58" s="8"/>
      <c r="H58" s="8"/>
      <c r="I58" s="9"/>
      <c r="J58" s="53" t="inlineStr">
        <is>
          <t>https://www.mouser.com/ProductDetail/Adafruit/5035?qs=pBJMDPsKWf13hGA%252B7pfQ3w%3D%3D</t>
        </is>
      </c>
    </row>
    <row r="60" spans="2:14">
      <c r="B60" s="2" t="inlineStr">
        <is>
          <t>ESP32 Circuit Boards and Add-ons</t>
        </is>
      </c>
    </row>
    <row r="61" spans="2:14">
      <c r="C61" s="8"/>
      <c r="F61" s="8"/>
      <c r="H61" s="8"/>
      <c r="I61" s="9"/>
      <c r="J61" s="10"/>
    </row>
    <row r="62" spans="2:14">
      <c r="C62" s="11">
        <v>21</v>
      </c>
      <c r="D62" s="12" t="inlineStr">
        <is>
          <t>A1</t>
        </is>
      </c>
      <c r="E62" s="12" t="inlineStr">
        <is>
          <t>Adafruit_Feather(Headers attached)</t>
        </is>
      </c>
      <c r="F62" s="11">
        <v>1</v>
      </c>
      <c r="G62" s="12" t="inlineStr">
        <is>
          <t>Feather_ESP32</t>
        </is>
      </c>
      <c r="H62" s="11">
        <v>0</v>
      </c>
      <c r="I62" s="13">
        <f>20.949999999999999*H62</f>
        <v>0</v>
      </c>
      <c r="J62" s="54" t="inlineStr">
        <is>
          <t>https://www.adafruit.com/product/3405</t>
        </is>
      </c>
    </row>
    <row r="63" spans="2:14">
      <c r="E63" s="2"/>
    </row>
    <row r="64" spans="2:14">
      <c r="D64" s="3" t="inlineStr">
        <is>
          <t>Note: Many Adafruit products are available from Mouser and/or Digikey.</t>
        </is>
      </c>
    </row>
  </sheetData>
  <sheetProtection selectLockedCells="1" selectUnlockedCells="1"/>
  <hyperlinks>
    <hyperlink ref="J9" r:id="rId1"/>
    <hyperlink ref="J10" r:id="rId2"/>
    <hyperlink ref="J11" r:id="rId3"/>
    <hyperlink ref="J12" r:id="rId4"/>
    <hyperlink ref="J13" r:id="rId5"/>
    <hyperlink ref="J14" r:id="rId6"/>
    <hyperlink ref="J15" r:id="rId7"/>
    <hyperlink ref="J16" r:id="rId8"/>
    <hyperlink ref="J17" r:id="rId9"/>
    <hyperlink ref="J18" r:id="rId10"/>
    <hyperlink ref="J21" r:id="rId11"/>
    <hyperlink ref="J23" r:id="rId12"/>
    <hyperlink ref="J24" r:id="rId13"/>
    <hyperlink ref="J25" r:id="rId14"/>
    <hyperlink ref="J27" r:id="rId15"/>
    <hyperlink ref="J28" r:id="rId16"/>
    <hyperlink ref="J31" r:id="rId17"/>
    <hyperlink ref="J33" r:id="rId18"/>
    <hyperlink ref="J34" r:id="rId19"/>
    <hyperlink ref="J35" r:id="rId20"/>
    <hyperlink ref="J36" r:id="rId21"/>
    <hyperlink ref="J37" r:id="rId22"/>
    <hyperlink ref="J38" r:id="rId23"/>
    <hyperlink ref="J39" r:id="rId24"/>
    <hyperlink ref="J41" r:id="rId25"/>
    <hyperlink ref="J42" r:id="rId26"/>
    <hyperlink ref="J46" r:id="rId27"/>
    <hyperlink ref="J47" r:id="rId28"/>
    <hyperlink ref="J48" r:id="rId29"/>
    <hyperlink ref="J49" r:id="rId30"/>
    <hyperlink ref="J52" r:id="rId31"/>
    <hyperlink ref="J53" r:id="rId32"/>
    <hyperlink ref="J57" r:id="rId33"/>
    <hyperlink ref="J58" r:id="rId34"/>
    <hyperlink ref="J62" r:id="rId35"/>
  </hyperlinks>
  <printOptions/>
  <pageMargins left="1" right="1" top="1.6666666666666667" bottom="1.6666666666666667" header="1" footer="1"/>
  <pageSetup blackAndWhite="0" cellComments="atEnd" draft="0" errors="displayed" firstPageNumber="0" orientation="portrait" pageOrder="downThenOver" paperSize="1" scale="100" useFirstPageNumber="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1.1251</AppVersion>
  <Company/>
  <LinksUpToDate>0</LinksUpToDate>
  <Manager/>
  <ScaleCrop>0</ScaleCrop>
  <DocSecurity>0</DocSecurity>
  <HyperlinkBase/>
  <HyperlinksChanged>0</HyperlinksChanged>
  <SharedDoc>0</SharedDoc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contentStatus/>
  <cp:lastModifiedBy>Eugene Petrov</cp:lastModifiedBy>
  <dcterms:modified xsi:type="dcterms:W3CDTF">2025-11-11T03:00:03Z</dcterms:modified>
  <dc:description/>
  <dc:subject/>
  <dc:title/>
  <cp:category/>
  <dcterms:created xsi:type="dcterms:W3CDTF">2025-11-07T05:11:52Z</dcterms:created>
  <cp:revision/>
  <dc:creator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